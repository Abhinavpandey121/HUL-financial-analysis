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BB57546A47AAE8/Documents/"/>
    </mc:Choice>
  </mc:AlternateContent>
  <xr:revisionPtr revIDLastSave="27" documentId="8_{C6A0101F-86D5-45B0-9998-B84A720C4961}" xr6:coauthVersionLast="47" xr6:coauthVersionMax="47" xr10:uidLastSave="{1DC0C774-D260-44C9-BFEC-8335E59C8027}"/>
  <bookViews>
    <workbookView xWindow="-108" yWindow="-108" windowWidth="23256" windowHeight="13176" activeTab="3" xr2:uid="{09C33C24-B1E9-4E67-AA6F-016D792C58FD}"/>
  </bookViews>
  <sheets>
    <sheet name="BALANCE SHEET" sheetId="1" r:id="rId1"/>
    <sheet name="CASH FLOW" sheetId="2" r:id="rId2"/>
    <sheet name="INCOME STATEMENT" sheetId="3" r:id="rId3"/>
    <sheet name="RATIO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4" l="1"/>
  <c r="D21" i="4"/>
  <c r="E21" i="4"/>
  <c r="C21" i="4"/>
  <c r="C20" i="4"/>
  <c r="D20" i="4"/>
  <c r="E20" i="4"/>
  <c r="D19" i="4"/>
  <c r="E19" i="4"/>
  <c r="C19" i="4"/>
  <c r="C3" i="4"/>
  <c r="C15" i="4"/>
  <c r="D15" i="4"/>
  <c r="E15" i="4"/>
  <c r="D16" i="4"/>
  <c r="E16" i="4"/>
  <c r="D17" i="4"/>
  <c r="E17" i="4"/>
  <c r="D9" i="4"/>
  <c r="E9" i="4"/>
  <c r="D10" i="4"/>
  <c r="E10" i="4"/>
  <c r="D11" i="4"/>
  <c r="E11" i="4"/>
  <c r="D12" i="4"/>
  <c r="E12" i="4"/>
  <c r="D13" i="4"/>
  <c r="E13" i="4"/>
  <c r="D7" i="4"/>
  <c r="E7" i="4"/>
  <c r="D6" i="4"/>
  <c r="E6" i="4"/>
  <c r="D4" i="4"/>
  <c r="E4" i="4"/>
  <c r="E3" i="4"/>
  <c r="D3" i="4"/>
  <c r="C17" i="4"/>
  <c r="C16" i="4"/>
  <c r="C13" i="4"/>
  <c r="C12" i="4"/>
  <c r="C11" i="4"/>
  <c r="C10" i="4"/>
  <c r="C9" i="4"/>
  <c r="C7" i="4"/>
  <c r="C6" i="4"/>
  <c r="C4" i="4"/>
  <c r="D58" i="1"/>
  <c r="D59" i="1"/>
  <c r="D46" i="1"/>
  <c r="D37" i="1"/>
  <c r="C59" i="1"/>
  <c r="B59" i="1"/>
  <c r="C58" i="1"/>
  <c r="B58" i="1"/>
  <c r="C46" i="1"/>
  <c r="B46" i="1"/>
  <c r="C37" i="1"/>
  <c r="B37" i="1"/>
  <c r="B17" i="1"/>
  <c r="B30" i="1" s="1"/>
  <c r="B29" i="1"/>
  <c r="B27" i="3"/>
  <c r="B41" i="3"/>
  <c r="B40" i="3"/>
  <c r="C40" i="3"/>
  <c r="B23" i="3"/>
  <c r="B19" i="3"/>
  <c r="D17" i="3"/>
  <c r="B17" i="3"/>
  <c r="C17" i="3"/>
  <c r="C19" i="3" s="1"/>
  <c r="C23" i="3" s="1"/>
  <c r="B14" i="3"/>
  <c r="B5" i="3"/>
  <c r="B73" i="2"/>
  <c r="B65" i="2"/>
  <c r="B66" i="2" s="1"/>
  <c r="B69" i="2" s="1"/>
  <c r="B54" i="2"/>
  <c r="B23" i="2"/>
  <c r="B30" i="2" s="1"/>
  <c r="B35" i="2" s="1"/>
  <c r="C14" i="3"/>
  <c r="C5" i="3"/>
  <c r="C73" i="2"/>
  <c r="C65" i="2"/>
  <c r="C54" i="2"/>
  <c r="C23" i="2"/>
  <c r="C30" i="2" s="1"/>
  <c r="C35" i="2" s="1"/>
  <c r="D23" i="2"/>
  <c r="D30" i="2" s="1"/>
  <c r="D35" i="2" s="1"/>
  <c r="C17" i="1"/>
  <c r="C30" i="1"/>
  <c r="C29" i="1"/>
  <c r="D40" i="3"/>
  <c r="D26" i="3"/>
  <c r="D19" i="3"/>
  <c r="D23" i="3" s="1"/>
  <c r="D5" i="3"/>
  <c r="D14" i="3"/>
  <c r="D73" i="2"/>
  <c r="D65" i="2"/>
  <c r="D54" i="2"/>
  <c r="D29" i="1"/>
  <c r="D17" i="1"/>
  <c r="C66" i="2" l="1"/>
  <c r="C69" i="2" s="1"/>
  <c r="C27" i="3"/>
  <c r="C41" i="3"/>
  <c r="D41" i="3"/>
  <c r="D27" i="3"/>
  <c r="D30" i="1"/>
  <c r="D66" i="2"/>
  <c r="D69" i="2" s="1"/>
</calcChain>
</file>

<file path=xl/sharedStrings.xml><?xml version="1.0" encoding="utf-8"?>
<sst xmlns="http://schemas.openxmlformats.org/spreadsheetml/2006/main" count="209" uniqueCount="200">
  <si>
    <t>ASSETS</t>
  </si>
  <si>
    <t>Non-current assets</t>
  </si>
  <si>
    <t>Property, plant and equipment</t>
  </si>
  <si>
    <t>Capital work-in-progres</t>
  </si>
  <si>
    <t>Goodwill</t>
  </si>
  <si>
    <t>Goodwill on consolidation</t>
  </si>
  <si>
    <t>Other intangible assets</t>
  </si>
  <si>
    <t>Investments accounted for using the equity method</t>
  </si>
  <si>
    <t>Financial assets</t>
  </si>
  <si>
    <t xml:space="preserve"> Investments</t>
  </si>
  <si>
    <t xml:space="preserve"> Loans</t>
  </si>
  <si>
    <t xml:space="preserve"> Other financial assets</t>
  </si>
  <si>
    <t>Deferred tax assets</t>
  </si>
  <si>
    <t>Non-current tax assets (net)</t>
  </si>
  <si>
    <t>Other non-current assets</t>
  </si>
  <si>
    <t>Total – Non-current assets (A)</t>
  </si>
  <si>
    <t>Current assets</t>
  </si>
  <si>
    <t>Inventories</t>
  </si>
  <si>
    <t xml:space="preserve"> Investment</t>
  </si>
  <si>
    <t xml:space="preserve"> Trade receivables</t>
  </si>
  <si>
    <t xml:space="preserve"> Cash and cash equivalents</t>
  </si>
  <si>
    <t xml:space="preserve"> Bank balances other than cash and cash equivalents mentioned above</t>
  </si>
  <si>
    <t>Other current assets</t>
  </si>
  <si>
    <t>Assets held for sale</t>
  </si>
  <si>
    <t>Total – Current assets (B)</t>
  </si>
  <si>
    <t>TOTAL ASSETS (A+B)</t>
  </si>
  <si>
    <t xml:space="preserve"> CASH FLOWS FROM OPERATING ACTIVITIES</t>
  </si>
  <si>
    <t>Depreciation and amortisation expenses</t>
  </si>
  <si>
    <t>Profit before tax from continuing operations and before share of equity accounted 
investee</t>
  </si>
  <si>
    <t>Adjustments for:</t>
  </si>
  <si>
    <t>Contingent consideration true up for business combination</t>
  </si>
  <si>
    <t>Profit/loss on sale of property, plant and equipment</t>
  </si>
  <si>
    <t>Finance Income</t>
  </si>
  <si>
    <t>Dividend income</t>
  </si>
  <si>
    <t>Other non operating income – Fair value gain on investments</t>
  </si>
  <si>
    <t>Interest expense</t>
  </si>
  <si>
    <t>Provision for expenses on employee stock options</t>
  </si>
  <si>
    <t>Profit on sale of brand rights</t>
  </si>
  <si>
    <t>Payment from Retirement Benefit Scheme Reserve</t>
  </si>
  <si>
    <t>Transaction cost from acquisition</t>
  </si>
  <si>
    <t>Inventory written off net of Provision/(write back) for Inventory</t>
  </si>
  <si>
    <t>Bad debts/assets written off net of Provision/(write back)</t>
  </si>
  <si>
    <t>Mark-to-market (gain)/ loss on derivative financial instruments</t>
  </si>
  <si>
    <t>Cash Generated from operations before working capital changes</t>
  </si>
  <si>
    <t>(Increase)/decrease in Non-Current Assets</t>
  </si>
  <si>
    <t>(Increase)/decrease in Current Assets</t>
  </si>
  <si>
    <t>(Increase)/decrease in Inventories</t>
  </si>
  <si>
    <t>Increase/(decrease) in Non-Current Liabilities</t>
  </si>
  <si>
    <t>Increase/(decrease) in Current Liabilities</t>
  </si>
  <si>
    <t>Cash flows generated from operations</t>
  </si>
  <si>
    <t>Purchase of property, plant and equipment</t>
  </si>
  <si>
    <t>Sale proceeds of property, plant and equipment</t>
  </si>
  <si>
    <t>Purchase of intangible assets</t>
  </si>
  <si>
    <t>Sale proceeds of intangible assets (brand rights)</t>
  </si>
  <si>
    <t>Investment in subsidiary</t>
  </si>
  <si>
    <t>Transaction cost on acquisition</t>
  </si>
  <si>
    <t>Investment in joint venture</t>
  </si>
  <si>
    <t>Contingent consideration paid on business combination</t>
  </si>
  <si>
    <t>Purchase of current investments</t>
  </si>
  <si>
    <t>Sale proceeds of current investments</t>
  </si>
  <si>
    <t>Loans given to others</t>
  </si>
  <si>
    <t>Investment in term deposits (having original maturity of more than 3 months)</t>
  </si>
  <si>
    <t>Redemption/maturity of term deposits (having original maturity of more than 3 months</t>
  </si>
  <si>
    <t>Investment in non-current deposits with banks</t>
  </si>
  <si>
    <t>Interest received</t>
  </si>
  <si>
    <t>Dividend received from others</t>
  </si>
  <si>
    <t>Net cash flows used in investing activities - [B]</t>
  </si>
  <si>
    <t>Taxes paid (net of refunds)</t>
  </si>
  <si>
    <t>Profit/(Loss) from Joint venture</t>
  </si>
  <si>
    <t>Profit/(Loss) from discontinued operations</t>
  </si>
  <si>
    <t>Net cash flows generated from operating activities - [A]</t>
  </si>
  <si>
    <t>CASH FLOWS FROM INVESTING ACTIVITIES:</t>
  </si>
  <si>
    <t>CASH FLOWS FROM FINANCING ACTIVITIES</t>
  </si>
  <si>
    <t>Dividends paid</t>
  </si>
  <si>
    <t>Amount taken for short term purpose</t>
  </si>
  <si>
    <t>Repayment of amount taken for short term purpose</t>
  </si>
  <si>
    <t xml:space="preserve">Borrowings repaid </t>
  </si>
  <si>
    <t>Principal payment of lease liabilities</t>
  </si>
  <si>
    <t>Interest paid on lease liabilities</t>
  </si>
  <si>
    <t>Interest paid other than on lease liabilities</t>
  </si>
  <si>
    <t>Employee stock options paid</t>
  </si>
  <si>
    <t>Proceeds from share allotment under employee stock options/ performance share 
schemes</t>
  </si>
  <si>
    <t>Net cash flows used in financing activities - [C]</t>
  </si>
  <si>
    <t>Net decrease in cash and cash equivalents - [A+B+C]</t>
  </si>
  <si>
    <t>Add: Cash and cash equivalents at the beginning of the year</t>
  </si>
  <si>
    <t>Add: Cash acquired under Business Combination (refer note 44)</t>
  </si>
  <si>
    <t>Cash and cash equivalents at the end of the year</t>
  </si>
  <si>
    <t>Components of cash and cash equivalents:</t>
  </si>
  <si>
    <t xml:space="preserve">Cash and cash equivalents as per Consolidated Balance Sheet </t>
  </si>
  <si>
    <t>Less: Bank overdraft</t>
  </si>
  <si>
    <t>Cash and cash equivalents for Consolidated Statement of Cash Flows</t>
  </si>
  <si>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</si>
  <si>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</si>
  <si>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</si>
  <si>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</si>
  <si>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</si>
  <si>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</si>
  <si>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</si>
  <si>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Stock-in-Trade and work-in-progress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</si>
  <si>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</si>
  <si>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</si>
  <si>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</si>
  <si>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</si>
  <si>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</si>
  <si>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 and tax and before share of equity accounted 
investee</t>
  </si>
  <si>
    <t>Share of loss of equity accounted investee net of tax</t>
  </si>
  <si>
    <t>Profit before exceptional items and tax</t>
  </si>
  <si>
    <t xml:space="preserve"> Exceptional items (net)</t>
  </si>
  <si>
    <t>Profit before tax from Continuing Operations</t>
  </si>
  <si>
    <t>Tax expenses</t>
  </si>
  <si>
    <t xml:space="preserve"> Current tax</t>
  </si>
  <si>
    <t>Deferred tax charge</t>
  </si>
  <si>
    <t>Profit after tax from Continuing Operations (A)</t>
  </si>
  <si>
    <t>Profit/(Loss) from discontinued operations before tax</t>
  </si>
  <si>
    <t xml:space="preserve">Tax adjustment of discontinued operations </t>
  </si>
  <si>
    <t>Profit/(Loss) from discontinued operations after tax (B)</t>
  </si>
  <si>
    <t>PROFIT FOR THE YEAR (A+B)</t>
  </si>
  <si>
    <t>OTHER COMPREHENSIVE INCOME</t>
  </si>
  <si>
    <t>Items that will not be reclassified subsequently to profit or loss</t>
  </si>
  <si>
    <t xml:space="preserve">  Remeasurements of the net defined benefit plans</t>
  </si>
  <si>
    <t>Income tax relating to items that will not be reclassified subsequently to profit 
or loss</t>
  </si>
  <si>
    <t xml:space="preserve"> Remeasurements of the net defined benefit plans</t>
  </si>
  <si>
    <t>Items that will be reclassified subsequently to profit or loss</t>
  </si>
  <si>
    <t>Fair value of debt instruments through other comprehensive income</t>
  </si>
  <si>
    <t>Fair value of cash flow hedges through other comprehensive income</t>
  </si>
  <si>
    <t>Income tax relating to items that will be reclassified subsequently to profit or loss</t>
  </si>
  <si>
    <t xml:space="preserve"> Fair value of cash flow hedges through other comprehensive income</t>
  </si>
  <si>
    <t>TOTAL COMPREHENSIVE INCOME FOR THE YEAR (A+B+C)</t>
  </si>
  <si>
    <t>OTHER COMPREHENSIVE INCOME FOR THE YEAR (C)</t>
  </si>
  <si>
    <t>Movement in provision toward litigation</t>
  </si>
  <si>
    <t>fair value gain on financial liability on acquisition</t>
  </si>
  <si>
    <t>share losses on joint venture</t>
  </si>
  <si>
    <t>share based expences</t>
  </si>
  <si>
    <t>Tax on above</t>
  </si>
  <si>
    <t>EQUITY AND LIABILITIES</t>
  </si>
  <si>
    <t>Equity</t>
  </si>
  <si>
    <t>Equity share capital</t>
  </si>
  <si>
    <t>Other equity</t>
  </si>
  <si>
    <t>Non-controlling interests</t>
  </si>
  <si>
    <t>Total - Equity (A)</t>
  </si>
  <si>
    <t>Liabilities</t>
  </si>
  <si>
    <t>Non-current liabilities</t>
  </si>
  <si>
    <t>Financial liabilities</t>
  </si>
  <si>
    <t>Lease Liabilities</t>
  </si>
  <si>
    <t>other financial liabilities</t>
  </si>
  <si>
    <t>Provisions</t>
  </si>
  <si>
    <t>Deferred tax liabilities</t>
  </si>
  <si>
    <t>Non-current tax liabilities (net)</t>
  </si>
  <si>
    <t>Total - Non-current liabilities (B)</t>
  </si>
  <si>
    <t>Current liabilities</t>
  </si>
  <si>
    <t>Borrowings</t>
  </si>
  <si>
    <t>Trade payables</t>
  </si>
  <si>
    <t>Total outstanding dues of micro enterprises and small enterprises</t>
  </si>
  <si>
    <t>Total outstanding dues of creditors other than micro enterprises 
and small enterprises</t>
  </si>
  <si>
    <t>Other financial liabilities</t>
  </si>
  <si>
    <t>Other current liabilities</t>
  </si>
  <si>
    <t>Current tax liabilities</t>
  </si>
  <si>
    <t>TOTAL EQUITY AND LIABILITIES (A+B+C)</t>
  </si>
  <si>
    <t>Total - Current liabilities (C)</t>
  </si>
  <si>
    <t>RATIOS CALCULATION</t>
  </si>
  <si>
    <t>Current Assets/Current liability</t>
  </si>
  <si>
    <t xml:space="preserve">Debt to Equity </t>
  </si>
  <si>
    <t xml:space="preserve">Total liability/Shareholders Equity </t>
  </si>
  <si>
    <t>Asset Turnover</t>
  </si>
  <si>
    <t>LIQUIDITY RATIOS</t>
  </si>
  <si>
    <t xml:space="preserve">Current </t>
  </si>
  <si>
    <t xml:space="preserve">Quick </t>
  </si>
  <si>
    <t>(Current Assets-Inventory)/Current liability</t>
  </si>
  <si>
    <t>Operating profit margin</t>
  </si>
  <si>
    <t>Gross profit margin</t>
  </si>
  <si>
    <t>Net profit margin</t>
  </si>
  <si>
    <t>EFFICIENCY RATIOS</t>
  </si>
  <si>
    <t>Accounts Receivable</t>
  </si>
  <si>
    <t>Earnings Per Share (EPS)</t>
  </si>
  <si>
    <t>Book Value Per Share</t>
  </si>
  <si>
    <t xml:space="preserve">Price-to-Earnings (P/E) Ratio </t>
  </si>
  <si>
    <t xml:space="preserve"> Total Debt / Total Assets</t>
  </si>
  <si>
    <t>EBIT / Interest Expense</t>
  </si>
  <si>
    <t xml:space="preserve"> (Revenue - Cost of Goods Sold) / Revenue</t>
  </si>
  <si>
    <t xml:space="preserve"> Net Income / Revenue</t>
  </si>
  <si>
    <t>Net Income / Average Total Assets</t>
  </si>
  <si>
    <t>Net Income / Average Shareholder Equity</t>
  </si>
  <si>
    <t>Return on Equity(ROE)</t>
  </si>
  <si>
    <t>Cost of Goods Sold / Average Inventory</t>
  </si>
  <si>
    <t>Revenue / Average Accounts Receivable</t>
  </si>
  <si>
    <t>Revenue / Average Total Assets</t>
  </si>
  <si>
    <t>(Net Income - Preferred Dividends) / Weighted Average Shares Outstanding</t>
  </si>
  <si>
    <t>Market Price Per Share / Earnings Per Share</t>
  </si>
  <si>
    <t>Shareholder Equity / Shares Outstanding</t>
  </si>
  <si>
    <t>PROFITABILITY RATIOS</t>
  </si>
  <si>
    <t>MARKET VALUE RATIOS</t>
  </si>
  <si>
    <t>DuPont Analysis Calculation</t>
  </si>
  <si>
    <t>ROE</t>
  </si>
  <si>
    <t>Net Profit Margin × Asset Turnover × Equity Multiplier</t>
  </si>
  <si>
    <t>Inventory Turnover</t>
  </si>
  <si>
    <t>Return on assets(ROA)</t>
  </si>
  <si>
    <t xml:space="preserve">Debt to Asset </t>
  </si>
  <si>
    <t>SOLVENCY RATIOS</t>
  </si>
  <si>
    <t>Market Closing Price (End of the year)</t>
  </si>
  <si>
    <t>Shares Outstanding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</si>
</sst>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3" fillId="0" borderId="0" xfId="0" applyFont="1"/>
    <xf numFmtId="0" fontId="1" fillId="0" borderId="2" xfId="0" applyFont="1" applyBorder="1" applyAlignment="1">
      <alignment wrapText="1"/>
    </xf>
    <xf numFmtId="0" fontId="0" fillId="0" borderId="14" xfId="0" applyBorder="1"/>
    <xf numFmtId="0" fontId="0" fillId="0" borderId="3" xfId="0" applyBorder="1"/>
    <xf numFmtId="0" fontId="0" fillId="0" borderId="4" xfId="0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6" xfId="0" applyFont="1" applyBorder="1" applyAlignment="1">
      <alignment horizontal="center"/>
    </xf>
    <xf numFmtId="3" fontId="0" fillId="0" borderId="16" xfId="0" applyNumberFormat="1" applyBorder="1"/>
    <xf numFmtId="0" fontId="1" fillId="0" borderId="20" xfId="0" applyFont="1" applyBorder="1"/>
    <xf numFmtId="3" fontId="1" fillId="0" borderId="20" xfId="0" applyNumberFormat="1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0" fontId="1" fillId="0" borderId="23" xfId="0" applyFont="1" applyBorder="1"/>
    <xf numFmtId="3" fontId="1" fillId="0" borderId="23" xfId="0" applyNumberFormat="1" applyFont="1" applyBorder="1"/>
    <xf numFmtId="3" fontId="1" fillId="0" borderId="11" xfId="0" applyNumberFormat="1" applyFont="1" applyBorder="1"/>
    <xf numFmtId="3" fontId="1" fillId="0" borderId="24" xfId="0" applyNumberFormat="1" applyFont="1" applyBorder="1"/>
    <xf numFmtId="0" fontId="1" fillId="0" borderId="25" xfId="0" applyFont="1" applyBorder="1"/>
    <xf numFmtId="3" fontId="1" fillId="0" borderId="25" xfId="0" applyNumberFormat="1" applyFont="1" applyBorder="1"/>
    <xf numFmtId="3" fontId="1" fillId="0" borderId="1" xfId="0" applyNumberFormat="1" applyFont="1" applyBorder="1"/>
    <xf numFmtId="3" fontId="1" fillId="0" borderId="26" xfId="0" applyNumberFormat="1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4" xfId="0" applyFont="1" applyBorder="1"/>
    <xf numFmtId="0" fontId="1" fillId="0" borderId="26" xfId="0" applyFont="1" applyBorder="1"/>
    <xf numFmtId="0" fontId="0" fillId="0" borderId="9" xfId="0" applyBorder="1"/>
    <xf numFmtId="0" fontId="0" fillId="0" borderId="19" xfId="0" applyBorder="1"/>
    <xf numFmtId="0" fontId="0" fillId="0" borderId="15" xfId="0" applyBorder="1"/>
    <xf numFmtId="0" fontId="4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  <xf numFmtId="0" fontId="2" fillId="0" borderId="0" xfId="0" applyFont="1"/>
    <xf numFmtId="168" fontId="0" fillId="0" borderId="0" xfId="0" applyNumberFormat="1"/>
    <xf numFmtId="169" fontId="0" fillId="0" borderId="0" xfId="0" applyNumberFormat="1"/>
    <xf numFmtId="0" fontId="0" fillId="0" borderId="0" xfId="0" quotePrefix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B0D5-B922-4DB0-B9DA-DEF2F7029BB0}">
  <dimension ref="A1:D60"/>
  <sheetViews>
    <sheetView showWhiteSpace="0" zoomScale="110" zoomScaleNormal="110" workbookViewId="0">
      <selection activeCell="A47" sqref="A47"/>
    </sheetView>
  </sheetViews>
  <sheetFormatPr defaultRowHeight="14.4" x14ac:dyDescent="0.3"/>
  <cols>
    <col min="1" max="1" width="62.109375" customWidth="1"/>
    <col min="6" max="6" width="8.88671875" customWidth="1"/>
  </cols>
  <sheetData>
    <row r="1" spans="1:4" x14ac:dyDescent="0.3">
      <c r="A1" s="28" t="s">
        <v>0</v>
      </c>
      <c r="B1" s="33">
        <v>2025</v>
      </c>
      <c r="C1" s="34">
        <v>2024</v>
      </c>
      <c r="D1" s="35">
        <v>2023</v>
      </c>
    </row>
    <row r="2" spans="1:4" x14ac:dyDescent="0.3">
      <c r="A2" s="1" t="s">
        <v>1</v>
      </c>
      <c r="B2" s="17"/>
      <c r="D2" s="24"/>
    </row>
    <row r="3" spans="1:4" x14ac:dyDescent="0.3">
      <c r="B3" s="17"/>
      <c r="D3" s="24"/>
    </row>
    <row r="4" spans="1:4" x14ac:dyDescent="0.3">
      <c r="A4" t="s">
        <v>2</v>
      </c>
      <c r="B4" s="17">
        <v>8625</v>
      </c>
      <c r="C4">
        <v>8031</v>
      </c>
      <c r="D4" s="36">
        <v>6949</v>
      </c>
    </row>
    <row r="5" spans="1:4" x14ac:dyDescent="0.3">
      <c r="A5" t="s">
        <v>3</v>
      </c>
      <c r="B5" s="17">
        <v>1009</v>
      </c>
      <c r="C5">
        <v>1025</v>
      </c>
      <c r="D5" s="36">
        <v>1132</v>
      </c>
    </row>
    <row r="6" spans="1:4" x14ac:dyDescent="0.3">
      <c r="A6" t="s">
        <v>4</v>
      </c>
      <c r="B6" s="17">
        <v>17466</v>
      </c>
      <c r="C6">
        <v>17466</v>
      </c>
      <c r="D6" s="36">
        <v>17316</v>
      </c>
    </row>
    <row r="7" spans="1:4" x14ac:dyDescent="0.3">
      <c r="A7" t="s">
        <v>5</v>
      </c>
      <c r="B7" s="17"/>
      <c r="D7" s="36">
        <v>150</v>
      </c>
    </row>
    <row r="8" spans="1:4" x14ac:dyDescent="0.3">
      <c r="A8" t="s">
        <v>6</v>
      </c>
      <c r="B8" s="17">
        <v>28244</v>
      </c>
      <c r="C8">
        <v>28247</v>
      </c>
      <c r="D8" s="36">
        <v>28263</v>
      </c>
    </row>
    <row r="9" spans="1:4" x14ac:dyDescent="0.3">
      <c r="A9" t="s">
        <v>7</v>
      </c>
      <c r="B9" s="17">
        <v>57</v>
      </c>
      <c r="C9">
        <v>65</v>
      </c>
      <c r="D9" s="36">
        <v>69</v>
      </c>
    </row>
    <row r="10" spans="1:4" ht="16.2" customHeight="1" x14ac:dyDescent="0.3">
      <c r="A10" t="s">
        <v>8</v>
      </c>
      <c r="B10" s="17"/>
      <c r="D10" s="24"/>
    </row>
    <row r="11" spans="1:4" x14ac:dyDescent="0.3">
      <c r="A11" t="s">
        <v>9</v>
      </c>
      <c r="B11" s="17">
        <v>2</v>
      </c>
      <c r="C11">
        <v>2</v>
      </c>
      <c r="D11" s="36">
        <v>2</v>
      </c>
    </row>
    <row r="12" spans="1:4" x14ac:dyDescent="0.3">
      <c r="A12" t="s">
        <v>10</v>
      </c>
      <c r="B12" s="17">
        <v>87</v>
      </c>
      <c r="C12">
        <v>102</v>
      </c>
      <c r="D12" s="36">
        <v>98</v>
      </c>
    </row>
    <row r="13" spans="1:4" x14ac:dyDescent="0.3">
      <c r="A13" t="s">
        <v>11</v>
      </c>
      <c r="B13" s="17">
        <v>763</v>
      </c>
      <c r="C13">
        <v>760</v>
      </c>
      <c r="D13" s="36">
        <v>725</v>
      </c>
    </row>
    <row r="14" spans="1:4" x14ac:dyDescent="0.3">
      <c r="A14" t="s">
        <v>12</v>
      </c>
      <c r="B14" s="17">
        <v>17</v>
      </c>
      <c r="C14">
        <v>10</v>
      </c>
      <c r="D14" s="36">
        <v>10</v>
      </c>
    </row>
    <row r="15" spans="1:4" x14ac:dyDescent="0.3">
      <c r="A15" t="s">
        <v>13</v>
      </c>
      <c r="B15" s="17">
        <v>1199</v>
      </c>
      <c r="C15">
        <v>1175</v>
      </c>
      <c r="D15" s="36">
        <v>1164</v>
      </c>
    </row>
    <row r="16" spans="1:4" x14ac:dyDescent="0.3">
      <c r="A16" t="s">
        <v>14</v>
      </c>
      <c r="B16" s="17">
        <v>360</v>
      </c>
      <c r="C16">
        <v>292</v>
      </c>
      <c r="D16" s="36">
        <v>211</v>
      </c>
    </row>
    <row r="17" spans="1:4" x14ac:dyDescent="0.3">
      <c r="A17" s="37" t="s">
        <v>15</v>
      </c>
      <c r="B17" s="38">
        <f>SUM(B4:B16)</f>
        <v>57829</v>
      </c>
      <c r="C17" s="39">
        <f>SUM(C4:C16)</f>
        <v>57175</v>
      </c>
      <c r="D17" s="40">
        <f>SUM(D4:D16)</f>
        <v>56089</v>
      </c>
    </row>
    <row r="18" spans="1:4" x14ac:dyDescent="0.3">
      <c r="A18" s="28" t="s">
        <v>16</v>
      </c>
      <c r="B18" s="17"/>
      <c r="D18" s="24"/>
    </row>
    <row r="19" spans="1:4" x14ac:dyDescent="0.3">
      <c r="A19" t="s">
        <v>17</v>
      </c>
      <c r="B19" s="17">
        <v>4415</v>
      </c>
      <c r="C19">
        <v>4022</v>
      </c>
      <c r="D19" s="36">
        <v>4251</v>
      </c>
    </row>
    <row r="20" spans="1:4" x14ac:dyDescent="0.3">
      <c r="A20" t="s">
        <v>8</v>
      </c>
      <c r="B20" s="17"/>
      <c r="D20" s="24"/>
    </row>
    <row r="21" spans="1:4" x14ac:dyDescent="0.3">
      <c r="A21" t="s">
        <v>18</v>
      </c>
      <c r="B21" s="17">
        <v>3751</v>
      </c>
      <c r="C21">
        <v>4558</v>
      </c>
      <c r="D21" s="24">
        <v>2811</v>
      </c>
    </row>
    <row r="22" spans="1:4" x14ac:dyDescent="0.3">
      <c r="A22" t="s">
        <v>19</v>
      </c>
      <c r="B22" s="17">
        <v>3819</v>
      </c>
      <c r="C22">
        <v>2997</v>
      </c>
      <c r="D22" s="24">
        <v>3079</v>
      </c>
    </row>
    <row r="23" spans="1:4" x14ac:dyDescent="0.3">
      <c r="A23" t="s">
        <v>20</v>
      </c>
      <c r="B23" s="17">
        <v>6071</v>
      </c>
      <c r="C23">
        <v>825</v>
      </c>
      <c r="D23" s="24">
        <v>714</v>
      </c>
    </row>
    <row r="24" spans="1:4" x14ac:dyDescent="0.3">
      <c r="A24" t="s">
        <v>21</v>
      </c>
      <c r="B24" s="17">
        <v>1483</v>
      </c>
      <c r="C24">
        <v>6734</v>
      </c>
      <c r="D24" s="24">
        <v>3964</v>
      </c>
    </row>
    <row r="25" spans="1:4" x14ac:dyDescent="0.3">
      <c r="A25" t="s">
        <v>10</v>
      </c>
      <c r="B25" s="17">
        <v>46</v>
      </c>
      <c r="C25">
        <v>38</v>
      </c>
      <c r="D25" s="24">
        <v>36</v>
      </c>
    </row>
    <row r="26" spans="1:4" x14ac:dyDescent="0.3">
      <c r="A26" t="s">
        <v>11</v>
      </c>
      <c r="B26" s="17">
        <v>1488</v>
      </c>
      <c r="C26">
        <v>1425</v>
      </c>
      <c r="D26" s="24">
        <v>1386</v>
      </c>
    </row>
    <row r="27" spans="1:4" x14ac:dyDescent="0.3">
      <c r="A27" t="s">
        <v>22</v>
      </c>
      <c r="B27" s="17">
        <v>955</v>
      </c>
      <c r="C27">
        <v>713</v>
      </c>
      <c r="D27" s="24">
        <v>745</v>
      </c>
    </row>
    <row r="28" spans="1:4" x14ac:dyDescent="0.3">
      <c r="A28" t="s">
        <v>23</v>
      </c>
      <c r="B28" s="17">
        <v>23</v>
      </c>
      <c r="C28">
        <v>12</v>
      </c>
      <c r="D28" s="24">
        <v>12</v>
      </c>
    </row>
    <row r="29" spans="1:4" x14ac:dyDescent="0.3">
      <c r="A29" s="41" t="s">
        <v>24</v>
      </c>
      <c r="B29" s="42">
        <f>SUM(B19:B28)</f>
        <v>22051</v>
      </c>
      <c r="C29" s="43">
        <f>SUM(C19:C28)</f>
        <v>21324</v>
      </c>
      <c r="D29" s="44">
        <f>SUM(D19:D28)</f>
        <v>16998</v>
      </c>
    </row>
    <row r="30" spans="1:4" x14ac:dyDescent="0.3">
      <c r="A30" s="45" t="s">
        <v>25</v>
      </c>
      <c r="B30" s="46">
        <f>SUM(B29,B17)</f>
        <v>79880</v>
      </c>
      <c r="C30" s="47">
        <f>SUM(C29,C17)</f>
        <v>78499</v>
      </c>
      <c r="D30" s="48">
        <f>SUM(D29,D17)</f>
        <v>73087</v>
      </c>
    </row>
    <row r="31" spans="1:4" x14ac:dyDescent="0.3">
      <c r="B31" s="17"/>
      <c r="D31" s="24"/>
    </row>
    <row r="32" spans="1:4" x14ac:dyDescent="0.3">
      <c r="A32" s="28" t="s">
        <v>134</v>
      </c>
      <c r="B32" s="17"/>
      <c r="D32" s="24"/>
    </row>
    <row r="33" spans="1:4" x14ac:dyDescent="0.3">
      <c r="A33" t="s">
        <v>135</v>
      </c>
      <c r="B33" s="17"/>
      <c r="D33" s="24"/>
    </row>
    <row r="34" spans="1:4" x14ac:dyDescent="0.3">
      <c r="A34" s="3" t="s">
        <v>136</v>
      </c>
      <c r="B34" s="17">
        <v>235</v>
      </c>
      <c r="C34">
        <v>235</v>
      </c>
      <c r="D34" s="24">
        <v>235</v>
      </c>
    </row>
    <row r="35" spans="1:4" x14ac:dyDescent="0.3">
      <c r="A35" s="3" t="s">
        <v>137</v>
      </c>
      <c r="B35" s="17">
        <v>49167</v>
      </c>
      <c r="C35">
        <v>50983</v>
      </c>
      <c r="D35" s="24">
        <v>50069</v>
      </c>
    </row>
    <row r="36" spans="1:4" x14ac:dyDescent="0.3">
      <c r="A36" s="3" t="s">
        <v>138</v>
      </c>
      <c r="B36" s="17">
        <v>207</v>
      </c>
      <c r="C36">
        <v>205</v>
      </c>
      <c r="D36" s="24">
        <v>218</v>
      </c>
    </row>
    <row r="37" spans="1:4" x14ac:dyDescent="0.3">
      <c r="A37" s="37" t="s">
        <v>139</v>
      </c>
      <c r="B37" s="37">
        <f>SUM(B34:B36)</f>
        <v>49609</v>
      </c>
      <c r="C37" s="49">
        <f>SUM(C34:C36)</f>
        <v>51423</v>
      </c>
      <c r="D37" s="50">
        <f>SUM(D34:D36)</f>
        <v>50522</v>
      </c>
    </row>
    <row r="38" spans="1:4" x14ac:dyDescent="0.3">
      <c r="A38" s="28" t="s">
        <v>140</v>
      </c>
      <c r="B38" s="17"/>
      <c r="D38" s="24"/>
    </row>
    <row r="39" spans="1:4" x14ac:dyDescent="0.3">
      <c r="A39" s="1" t="s">
        <v>141</v>
      </c>
      <c r="B39" s="17"/>
      <c r="D39" s="24"/>
    </row>
    <row r="40" spans="1:4" x14ac:dyDescent="0.3">
      <c r="A40" t="s">
        <v>142</v>
      </c>
      <c r="B40" s="17"/>
      <c r="D40" s="24"/>
    </row>
    <row r="41" spans="1:4" x14ac:dyDescent="0.3">
      <c r="A41" t="s">
        <v>143</v>
      </c>
      <c r="B41" s="17">
        <v>1243</v>
      </c>
      <c r="C41">
        <v>1106</v>
      </c>
      <c r="D41" s="24">
        <v>807</v>
      </c>
    </row>
    <row r="42" spans="1:4" x14ac:dyDescent="0.3">
      <c r="A42" t="s">
        <v>144</v>
      </c>
      <c r="B42" s="17">
        <v>680</v>
      </c>
      <c r="C42">
        <v>715</v>
      </c>
      <c r="D42" s="24">
        <v>860</v>
      </c>
    </row>
    <row r="43" spans="1:4" x14ac:dyDescent="0.3">
      <c r="A43" t="s">
        <v>145</v>
      </c>
      <c r="B43" s="17">
        <v>1528</v>
      </c>
      <c r="C43">
        <v>1576</v>
      </c>
      <c r="D43" s="24">
        <v>1363</v>
      </c>
    </row>
    <row r="44" spans="1:4" x14ac:dyDescent="0.3">
      <c r="A44" t="s">
        <v>146</v>
      </c>
      <c r="B44" s="17">
        <v>6685</v>
      </c>
      <c r="C44">
        <v>6557</v>
      </c>
      <c r="D44" s="24">
        <v>6421</v>
      </c>
    </row>
    <row r="45" spans="1:4" x14ac:dyDescent="0.3">
      <c r="A45" t="s">
        <v>147</v>
      </c>
      <c r="B45" s="17">
        <v>3598</v>
      </c>
      <c r="C45">
        <v>4243</v>
      </c>
      <c r="D45" s="24">
        <v>1086</v>
      </c>
    </row>
    <row r="46" spans="1:4" x14ac:dyDescent="0.3">
      <c r="A46" s="37" t="s">
        <v>148</v>
      </c>
      <c r="B46" s="37">
        <f>SUM(B41:B45)</f>
        <v>13734</v>
      </c>
      <c r="C46" s="49">
        <f>SUM(C41:C45)</f>
        <v>14197</v>
      </c>
      <c r="D46" s="50">
        <f>SUM(D41:D45)</f>
        <v>10537</v>
      </c>
    </row>
    <row r="47" spans="1:4" x14ac:dyDescent="0.3">
      <c r="A47" s="28" t="s">
        <v>149</v>
      </c>
      <c r="B47" s="17"/>
      <c r="D47" s="24"/>
    </row>
    <row r="48" spans="1:4" x14ac:dyDescent="0.3">
      <c r="A48" t="s">
        <v>142</v>
      </c>
      <c r="B48" s="17"/>
      <c r="D48" s="24"/>
    </row>
    <row r="49" spans="1:4" x14ac:dyDescent="0.3">
      <c r="A49" t="s">
        <v>150</v>
      </c>
      <c r="B49" s="17">
        <v>1</v>
      </c>
      <c r="C49">
        <v>13</v>
      </c>
      <c r="D49" s="24">
        <v>98</v>
      </c>
    </row>
    <row r="50" spans="1:4" x14ac:dyDescent="0.3">
      <c r="A50" t="s">
        <v>143</v>
      </c>
      <c r="B50" s="17">
        <v>404</v>
      </c>
      <c r="C50">
        <v>365</v>
      </c>
      <c r="D50" s="24">
        <v>314</v>
      </c>
    </row>
    <row r="51" spans="1:4" x14ac:dyDescent="0.3">
      <c r="A51" t="s">
        <v>151</v>
      </c>
      <c r="B51" s="17"/>
      <c r="D51" s="24"/>
    </row>
    <row r="52" spans="1:4" x14ac:dyDescent="0.3">
      <c r="A52" t="s">
        <v>152</v>
      </c>
      <c r="B52" s="17">
        <v>263</v>
      </c>
      <c r="C52">
        <v>250</v>
      </c>
      <c r="D52" s="24">
        <v>100</v>
      </c>
    </row>
    <row r="53" spans="1:4" ht="28.8" x14ac:dyDescent="0.3">
      <c r="A53" s="2" t="s">
        <v>153</v>
      </c>
      <c r="B53" s="17">
        <v>11052</v>
      </c>
      <c r="C53">
        <v>10236</v>
      </c>
      <c r="D53" s="24">
        <v>9474</v>
      </c>
    </row>
    <row r="54" spans="1:4" x14ac:dyDescent="0.3">
      <c r="A54" t="s">
        <v>154</v>
      </c>
      <c r="B54" s="17">
        <v>1280</v>
      </c>
      <c r="C54">
        <v>868</v>
      </c>
      <c r="D54" s="24">
        <v>889</v>
      </c>
    </row>
    <row r="55" spans="1:4" x14ac:dyDescent="0.3">
      <c r="A55" t="s">
        <v>155</v>
      </c>
      <c r="B55" s="17">
        <v>959</v>
      </c>
      <c r="C55">
        <v>807</v>
      </c>
      <c r="D55" s="24">
        <v>764</v>
      </c>
    </row>
    <row r="56" spans="1:4" x14ac:dyDescent="0.3">
      <c r="A56" t="s">
        <v>145</v>
      </c>
      <c r="B56" s="17">
        <v>675</v>
      </c>
      <c r="C56">
        <v>340</v>
      </c>
      <c r="D56" s="24">
        <v>389</v>
      </c>
    </row>
    <row r="57" spans="1:4" x14ac:dyDescent="0.3">
      <c r="A57" t="s">
        <v>156</v>
      </c>
      <c r="B57" s="17">
        <v>1903</v>
      </c>
      <c r="D57" s="24"/>
    </row>
    <row r="58" spans="1:4" x14ac:dyDescent="0.3">
      <c r="A58" s="41" t="s">
        <v>158</v>
      </c>
      <c r="B58" s="41">
        <f>SUM(B49:B57)</f>
        <v>16537</v>
      </c>
      <c r="C58" s="15">
        <f>SUM(C49:C57)</f>
        <v>12879</v>
      </c>
      <c r="D58" s="51">
        <f>SUM(D49:D57)</f>
        <v>12028</v>
      </c>
    </row>
    <row r="59" spans="1:4" x14ac:dyDescent="0.3">
      <c r="A59" s="45" t="s">
        <v>157</v>
      </c>
      <c r="B59" s="45">
        <f>SUM(B37+B46+B58)</f>
        <v>79880</v>
      </c>
      <c r="C59" s="4">
        <f>SUM(C37+C46+C58)</f>
        <v>78499</v>
      </c>
      <c r="D59" s="52">
        <f>SUM(D37+D46+D58)</f>
        <v>73087</v>
      </c>
    </row>
    <row r="60" spans="1:4" x14ac:dyDescent="0.3">
      <c r="A6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D3B4-A06E-4B3B-8656-4FB43A818002}">
  <dimension ref="A1:D73"/>
  <sheetViews>
    <sheetView topLeftCell="A55" zoomScale="96" zoomScaleNormal="120" workbookViewId="0">
      <selection activeCell="I10" sqref="I10"/>
    </sheetView>
  </sheetViews>
  <sheetFormatPr defaultRowHeight="14.4" x14ac:dyDescent="0.3"/>
  <cols>
    <col min="1" max="1" width="74.44140625" customWidth="1"/>
  </cols>
  <sheetData>
    <row r="1" spans="1:4" x14ac:dyDescent="0.3">
      <c r="B1" s="21">
        <v>2025</v>
      </c>
      <c r="C1" s="22">
        <v>2024</v>
      </c>
      <c r="D1" s="23">
        <v>2023</v>
      </c>
    </row>
    <row r="2" spans="1:4" ht="15" thickBot="1" x14ac:dyDescent="0.35">
      <c r="A2" s="28" t="s">
        <v>26</v>
      </c>
      <c r="B2" s="17"/>
      <c r="D2" s="24"/>
    </row>
    <row r="3" spans="1:4" ht="29.4" thickBot="1" x14ac:dyDescent="0.35">
      <c r="A3" s="29" t="s">
        <v>28</v>
      </c>
      <c r="B3" s="30">
        <v>14415</v>
      </c>
      <c r="C3" s="31">
        <v>13926</v>
      </c>
      <c r="D3" s="32">
        <v>13345</v>
      </c>
    </row>
    <row r="4" spans="1:4" x14ac:dyDescent="0.3">
      <c r="A4" t="s">
        <v>29</v>
      </c>
      <c r="B4" s="17"/>
      <c r="D4" s="24"/>
    </row>
    <row r="5" spans="1:4" x14ac:dyDescent="0.3">
      <c r="A5" t="s">
        <v>27</v>
      </c>
      <c r="B5" s="17">
        <v>1363</v>
      </c>
      <c r="C5">
        <v>1216</v>
      </c>
      <c r="D5" s="24">
        <v>1152</v>
      </c>
    </row>
    <row r="6" spans="1:4" x14ac:dyDescent="0.3">
      <c r="A6" t="s">
        <v>31</v>
      </c>
      <c r="B6" s="17">
        <v>43</v>
      </c>
      <c r="C6">
        <v>18</v>
      </c>
      <c r="D6" s="24">
        <v>-100</v>
      </c>
    </row>
    <row r="7" spans="1:4" x14ac:dyDescent="0.3">
      <c r="A7" t="s">
        <v>30</v>
      </c>
      <c r="B7" s="17"/>
      <c r="D7" s="24">
        <v>-2</v>
      </c>
    </row>
    <row r="8" spans="1:4" x14ac:dyDescent="0.3">
      <c r="A8" t="s">
        <v>130</v>
      </c>
      <c r="B8" s="17">
        <v>120</v>
      </c>
      <c r="C8">
        <v>-132</v>
      </c>
      <c r="D8" s="24"/>
    </row>
    <row r="9" spans="1:4" x14ac:dyDescent="0.3">
      <c r="A9" t="s">
        <v>32</v>
      </c>
      <c r="B9" s="17">
        <v>-755</v>
      </c>
      <c r="C9">
        <v>-546</v>
      </c>
      <c r="D9" s="24">
        <v>-411</v>
      </c>
    </row>
    <row r="10" spans="1:4" x14ac:dyDescent="0.3">
      <c r="A10" t="s">
        <v>33</v>
      </c>
      <c r="B10" s="17"/>
      <c r="C10">
        <v>-3</v>
      </c>
      <c r="D10" s="24">
        <v>-2</v>
      </c>
    </row>
    <row r="11" spans="1:4" x14ac:dyDescent="0.3">
      <c r="A11" t="s">
        <v>34</v>
      </c>
      <c r="B11" s="17">
        <v>-256</v>
      </c>
      <c r="C11">
        <v>-249</v>
      </c>
      <c r="D11" s="24">
        <v>-99</v>
      </c>
    </row>
    <row r="12" spans="1:4" x14ac:dyDescent="0.3">
      <c r="A12" t="s">
        <v>35</v>
      </c>
      <c r="B12" s="17">
        <v>372</v>
      </c>
      <c r="C12">
        <v>317</v>
      </c>
      <c r="D12" s="24">
        <v>114</v>
      </c>
    </row>
    <row r="13" spans="1:4" x14ac:dyDescent="0.3">
      <c r="A13" t="s">
        <v>129</v>
      </c>
      <c r="B13" s="17">
        <v>-595</v>
      </c>
      <c r="C13">
        <v>-159</v>
      </c>
      <c r="D13" s="24"/>
    </row>
    <row r="14" spans="1:4" x14ac:dyDescent="0.3">
      <c r="A14" t="s">
        <v>36</v>
      </c>
      <c r="B14" s="17"/>
      <c r="D14" s="24">
        <v>1</v>
      </c>
    </row>
    <row r="15" spans="1:4" x14ac:dyDescent="0.3">
      <c r="A15" t="s">
        <v>37</v>
      </c>
      <c r="B15" s="17"/>
      <c r="D15" s="24">
        <v>-60</v>
      </c>
    </row>
    <row r="16" spans="1:4" ht="15.6" customHeight="1" x14ac:dyDescent="0.3">
      <c r="A16" t="s">
        <v>38</v>
      </c>
      <c r="B16" s="17">
        <v>-1</v>
      </c>
      <c r="C16">
        <v>-1</v>
      </c>
      <c r="D16" s="24">
        <v>-1</v>
      </c>
    </row>
    <row r="17" spans="1:4" x14ac:dyDescent="0.3">
      <c r="A17" t="s">
        <v>131</v>
      </c>
      <c r="B17" s="17">
        <v>8</v>
      </c>
      <c r="C17">
        <v>4</v>
      </c>
      <c r="D17" s="24">
        <v>1</v>
      </c>
    </row>
    <row r="18" spans="1:4" x14ac:dyDescent="0.3">
      <c r="A18" t="s">
        <v>39</v>
      </c>
      <c r="B18" s="17"/>
      <c r="D18" s="24">
        <v>2</v>
      </c>
    </row>
    <row r="19" spans="1:4" x14ac:dyDescent="0.3">
      <c r="A19" t="s">
        <v>40</v>
      </c>
      <c r="B19" s="17">
        <v>189</v>
      </c>
      <c r="C19">
        <v>167</v>
      </c>
      <c r="D19" s="24">
        <v>184</v>
      </c>
    </row>
    <row r="20" spans="1:4" x14ac:dyDescent="0.3">
      <c r="A20" t="s">
        <v>41</v>
      </c>
      <c r="B20" s="17">
        <v>24</v>
      </c>
      <c r="C20">
        <v>-11</v>
      </c>
      <c r="D20" s="24">
        <v>-27</v>
      </c>
    </row>
    <row r="21" spans="1:4" x14ac:dyDescent="0.3">
      <c r="A21" t="s">
        <v>42</v>
      </c>
      <c r="B21" s="17">
        <v>4</v>
      </c>
      <c r="C21">
        <v>-10</v>
      </c>
      <c r="D21" s="24">
        <v>-8</v>
      </c>
    </row>
    <row r="22" spans="1:4" ht="15" thickBot="1" x14ac:dyDescent="0.35">
      <c r="A22" t="s">
        <v>132</v>
      </c>
      <c r="B22" s="17">
        <v>11</v>
      </c>
      <c r="D22" s="24"/>
    </row>
    <row r="23" spans="1:4" ht="15" thickBot="1" x14ac:dyDescent="0.35">
      <c r="A23" s="5" t="s">
        <v>43</v>
      </c>
      <c r="B23" s="18">
        <f>SUM(B3:B22)</f>
        <v>14942</v>
      </c>
      <c r="C23" s="6">
        <f>SUM(C3:C21)</f>
        <v>14537</v>
      </c>
      <c r="D23" s="7">
        <f>SUM(D3:D21)</f>
        <v>14089</v>
      </c>
    </row>
    <row r="24" spans="1:4" x14ac:dyDescent="0.3">
      <c r="A24" t="s">
        <v>29</v>
      </c>
      <c r="B24" s="17"/>
      <c r="D24" s="24"/>
    </row>
    <row r="25" spans="1:4" x14ac:dyDescent="0.3">
      <c r="A25" t="s">
        <v>44</v>
      </c>
      <c r="B25" s="17">
        <v>-87</v>
      </c>
      <c r="C25">
        <v>-30</v>
      </c>
      <c r="D25" s="24">
        <v>-14</v>
      </c>
    </row>
    <row r="26" spans="1:4" x14ac:dyDescent="0.3">
      <c r="A26" t="s">
        <v>45</v>
      </c>
      <c r="B26" s="17">
        <v>-1275</v>
      </c>
      <c r="C26">
        <v>220</v>
      </c>
      <c r="D26" s="24">
        <v>-1111</v>
      </c>
    </row>
    <row r="27" spans="1:4" x14ac:dyDescent="0.3">
      <c r="A27" t="s">
        <v>46</v>
      </c>
      <c r="B27" s="17">
        <v>-584</v>
      </c>
      <c r="C27">
        <v>74</v>
      </c>
      <c r="D27" s="24">
        <v>-339</v>
      </c>
    </row>
    <row r="28" spans="1:4" x14ac:dyDescent="0.3">
      <c r="A28" t="s">
        <v>47</v>
      </c>
      <c r="B28" s="17">
        <v>-284</v>
      </c>
      <c r="C28">
        <v>128</v>
      </c>
      <c r="D28" s="24">
        <v>-116</v>
      </c>
    </row>
    <row r="29" spans="1:4" ht="15" thickBot="1" x14ac:dyDescent="0.35">
      <c r="A29" t="s">
        <v>48</v>
      </c>
      <c r="B29" s="17">
        <v>1442</v>
      </c>
      <c r="C29">
        <v>921</v>
      </c>
      <c r="D29" s="24">
        <v>622</v>
      </c>
    </row>
    <row r="30" spans="1:4" ht="15" thickBot="1" x14ac:dyDescent="0.35">
      <c r="A30" s="5" t="s">
        <v>49</v>
      </c>
      <c r="B30" s="18">
        <f>SUM(B23:B29)</f>
        <v>14154</v>
      </c>
      <c r="C30" s="6">
        <f>SUM(C23:C29)</f>
        <v>15850</v>
      </c>
      <c r="D30" s="7">
        <f>SUM(D23:D29)</f>
        <v>13131</v>
      </c>
    </row>
    <row r="31" spans="1:4" x14ac:dyDescent="0.3">
      <c r="A31" t="s">
        <v>67</v>
      </c>
      <c r="B31" s="17">
        <v>-2268</v>
      </c>
      <c r="C31">
        <v>-381</v>
      </c>
      <c r="D31" s="24">
        <v>-3138</v>
      </c>
    </row>
    <row r="32" spans="1:4" x14ac:dyDescent="0.3">
      <c r="A32" t="s">
        <v>68</v>
      </c>
      <c r="B32" s="17"/>
      <c r="D32" s="24">
        <v>-1</v>
      </c>
    </row>
    <row r="33" spans="1:4" x14ac:dyDescent="0.3">
      <c r="A33" t="s">
        <v>69</v>
      </c>
      <c r="B33" s="17"/>
      <c r="D33" s="24">
        <v>-1</v>
      </c>
    </row>
    <row r="34" spans="1:4" ht="15" thickBot="1" x14ac:dyDescent="0.35">
      <c r="B34" s="17"/>
      <c r="D34" s="24"/>
    </row>
    <row r="35" spans="1:4" ht="15" thickBot="1" x14ac:dyDescent="0.35">
      <c r="A35" s="5" t="s">
        <v>70</v>
      </c>
      <c r="B35" s="18">
        <f>SUM(B30:B33)</f>
        <v>11886</v>
      </c>
      <c r="C35" s="6">
        <f>SUM(C30:C33)</f>
        <v>15469</v>
      </c>
      <c r="D35" s="7">
        <f>SUM(D30:D33)</f>
        <v>9991</v>
      </c>
    </row>
    <row r="36" spans="1:4" x14ac:dyDescent="0.3">
      <c r="A36" s="28" t="s">
        <v>71</v>
      </c>
      <c r="B36" s="17"/>
      <c r="D36" s="24"/>
    </row>
    <row r="37" spans="1:4" x14ac:dyDescent="0.3">
      <c r="A37" t="s">
        <v>50</v>
      </c>
      <c r="B37" s="17">
        <v>-1254</v>
      </c>
      <c r="C37">
        <v>-1468</v>
      </c>
      <c r="D37" s="24">
        <v>-1174</v>
      </c>
    </row>
    <row r="38" spans="1:4" x14ac:dyDescent="0.3">
      <c r="A38" t="s">
        <v>51</v>
      </c>
      <c r="B38" s="17">
        <v>13</v>
      </c>
      <c r="C38">
        <v>20</v>
      </c>
      <c r="D38" s="24">
        <v>121</v>
      </c>
    </row>
    <row r="39" spans="1:4" x14ac:dyDescent="0.3">
      <c r="A39" t="s">
        <v>52</v>
      </c>
      <c r="B39" s="17">
        <v>-21</v>
      </c>
      <c r="C39">
        <v>-9</v>
      </c>
      <c r="D39" s="24">
        <v>-18</v>
      </c>
    </row>
    <row r="40" spans="1:4" x14ac:dyDescent="0.3">
      <c r="A40" t="s">
        <v>53</v>
      </c>
      <c r="B40" s="17">
        <v>595</v>
      </c>
      <c r="D40" s="24">
        <v>60</v>
      </c>
    </row>
    <row r="41" spans="1:4" x14ac:dyDescent="0.3">
      <c r="A41" t="s">
        <v>54</v>
      </c>
      <c r="B41" s="17"/>
      <c r="D41" s="24">
        <v>-264</v>
      </c>
    </row>
    <row r="42" spans="1:4" x14ac:dyDescent="0.3">
      <c r="A42" t="s">
        <v>55</v>
      </c>
      <c r="B42" s="17"/>
      <c r="D42" s="24">
        <v>-2</v>
      </c>
    </row>
    <row r="43" spans="1:4" x14ac:dyDescent="0.3">
      <c r="A43" t="s">
        <v>56</v>
      </c>
      <c r="B43" s="17"/>
      <c r="D43" s="24">
        <v>-70</v>
      </c>
    </row>
    <row r="44" spans="1:4" x14ac:dyDescent="0.3">
      <c r="A44" t="s">
        <v>57</v>
      </c>
      <c r="B44" s="17"/>
      <c r="C44">
        <v>-4</v>
      </c>
      <c r="D44" s="24">
        <v>-40</v>
      </c>
    </row>
    <row r="45" spans="1:4" x14ac:dyDescent="0.3">
      <c r="A45" t="s">
        <v>58</v>
      </c>
      <c r="B45" s="17">
        <v>-22957</v>
      </c>
      <c r="C45">
        <v>-21337</v>
      </c>
      <c r="D45" s="24">
        <v>-22649</v>
      </c>
    </row>
    <row r="46" spans="1:4" x14ac:dyDescent="0.3">
      <c r="A46" t="s">
        <v>59</v>
      </c>
      <c r="B46" s="17">
        <v>23987</v>
      </c>
      <c r="C46">
        <v>19846</v>
      </c>
      <c r="D46" s="24">
        <v>23462</v>
      </c>
    </row>
    <row r="47" spans="1:4" x14ac:dyDescent="0.3">
      <c r="A47" t="s">
        <v>60</v>
      </c>
      <c r="B47" s="17"/>
      <c r="C47">
        <v>1</v>
      </c>
      <c r="D47" s="24">
        <v>-1</v>
      </c>
    </row>
    <row r="48" spans="1:4" x14ac:dyDescent="0.3">
      <c r="A48" t="s">
        <v>61</v>
      </c>
      <c r="B48" s="17">
        <v>-2499</v>
      </c>
      <c r="C48">
        <v>-9170</v>
      </c>
      <c r="D48" s="24">
        <v>-3668</v>
      </c>
    </row>
    <row r="49" spans="1:4" x14ac:dyDescent="0.3">
      <c r="A49" t="s">
        <v>62</v>
      </c>
      <c r="B49" s="17">
        <v>7774</v>
      </c>
      <c r="C49">
        <v>6369</v>
      </c>
      <c r="D49" s="24">
        <v>2488</v>
      </c>
    </row>
    <row r="50" spans="1:4" x14ac:dyDescent="0.3">
      <c r="A50" t="s">
        <v>63</v>
      </c>
      <c r="B50" s="17">
        <v>835</v>
      </c>
      <c r="D50" s="24"/>
    </row>
    <row r="51" spans="1:4" x14ac:dyDescent="0.3">
      <c r="A51" t="s">
        <v>64</v>
      </c>
      <c r="B51" s="17"/>
      <c r="C51">
        <v>425</v>
      </c>
      <c r="D51" s="24">
        <v>259</v>
      </c>
    </row>
    <row r="52" spans="1:4" x14ac:dyDescent="0.3">
      <c r="A52" t="s">
        <v>65</v>
      </c>
      <c r="B52" s="17"/>
      <c r="C52">
        <v>3</v>
      </c>
      <c r="D52" s="24">
        <v>2</v>
      </c>
    </row>
    <row r="53" spans="1:4" ht="15" thickBot="1" x14ac:dyDescent="0.35">
      <c r="B53" s="55"/>
      <c r="C53" s="53"/>
      <c r="D53" s="54"/>
    </row>
    <row r="54" spans="1:4" ht="15" thickBot="1" x14ac:dyDescent="0.35">
      <c r="A54" s="5" t="s">
        <v>66</v>
      </c>
      <c r="B54" s="18">
        <f>SUM(B37:B52)</f>
        <v>6473</v>
      </c>
      <c r="C54" s="6">
        <f>SUM(C37:C52)</f>
        <v>-5324</v>
      </c>
      <c r="D54" s="7">
        <f>SUM(D37:D52)</f>
        <v>-1494</v>
      </c>
    </row>
    <row r="55" spans="1:4" x14ac:dyDescent="0.3">
      <c r="A55" s="28" t="s">
        <v>72</v>
      </c>
      <c r="B55" s="17"/>
      <c r="D55" s="24"/>
    </row>
    <row r="56" spans="1:4" x14ac:dyDescent="0.3">
      <c r="A56" t="s">
        <v>73</v>
      </c>
      <c r="B56" s="17">
        <v>-12473</v>
      </c>
      <c r="C56">
        <v>-9416</v>
      </c>
      <c r="D56" s="24">
        <v>-8474</v>
      </c>
    </row>
    <row r="57" spans="1:4" x14ac:dyDescent="0.3">
      <c r="A57" t="s">
        <v>74</v>
      </c>
      <c r="B57" s="17"/>
      <c r="D57" s="24">
        <v>286</v>
      </c>
    </row>
    <row r="58" spans="1:4" x14ac:dyDescent="0.3">
      <c r="A58" t="s">
        <v>75</v>
      </c>
      <c r="B58" s="17"/>
      <c r="C58">
        <v>-85</v>
      </c>
      <c r="D58" s="24">
        <v>-201</v>
      </c>
    </row>
    <row r="59" spans="1:4" x14ac:dyDescent="0.3">
      <c r="A59" t="s">
        <v>76</v>
      </c>
      <c r="B59" s="17"/>
      <c r="D59" s="24">
        <v>-7</v>
      </c>
    </row>
    <row r="60" spans="1:4" x14ac:dyDescent="0.3">
      <c r="A60" t="s">
        <v>77</v>
      </c>
      <c r="B60" s="17">
        <v>-498</v>
      </c>
      <c r="C60">
        <v>-423</v>
      </c>
      <c r="D60" s="24">
        <v>-467</v>
      </c>
    </row>
    <row r="61" spans="1:4" x14ac:dyDescent="0.3">
      <c r="A61" t="s">
        <v>78</v>
      </c>
      <c r="B61" s="17">
        <v>-127</v>
      </c>
      <c r="C61">
        <v>-106</v>
      </c>
      <c r="D61" s="24">
        <v>-84</v>
      </c>
    </row>
    <row r="62" spans="1:4" x14ac:dyDescent="0.3">
      <c r="A62" t="s">
        <v>79</v>
      </c>
      <c r="B62" s="17">
        <v>-3</v>
      </c>
      <c r="C62">
        <v>-4</v>
      </c>
      <c r="D62" s="24">
        <v>-4</v>
      </c>
    </row>
    <row r="63" spans="1:4" x14ac:dyDescent="0.3">
      <c r="A63" t="s">
        <v>80</v>
      </c>
      <c r="B63" s="17"/>
      <c r="D63" s="24">
        <v>-2</v>
      </c>
    </row>
    <row r="64" spans="1:4" ht="29.4" thickBot="1" x14ac:dyDescent="0.35">
      <c r="A64" s="2" t="s">
        <v>81</v>
      </c>
      <c r="B64" s="17"/>
      <c r="D64" s="24"/>
    </row>
    <row r="65" spans="1:4" x14ac:dyDescent="0.3">
      <c r="A65" s="8" t="s">
        <v>82</v>
      </c>
      <c r="B65" s="20">
        <f>SUM(B56:B63)</f>
        <v>-13101</v>
      </c>
      <c r="C65" s="14">
        <f>SUM(C56:C63)</f>
        <v>-10034</v>
      </c>
      <c r="D65" s="10">
        <f>SUM(D56:D63)</f>
        <v>-8953</v>
      </c>
    </row>
    <row r="66" spans="1:4" ht="15" thickBot="1" x14ac:dyDescent="0.35">
      <c r="A66" s="11" t="s">
        <v>83</v>
      </c>
      <c r="B66" s="19">
        <f>SUM(B65,B54,B35)</f>
        <v>5258</v>
      </c>
      <c r="C66" s="12">
        <f>SUM(C65,C54,C35)</f>
        <v>111</v>
      </c>
      <c r="D66" s="13">
        <f>SUM(D65,D54,D35)</f>
        <v>-456</v>
      </c>
    </row>
    <row r="67" spans="1:4" x14ac:dyDescent="0.3">
      <c r="A67" t="s">
        <v>84</v>
      </c>
      <c r="B67" s="17">
        <v>812</v>
      </c>
      <c r="C67">
        <v>701</v>
      </c>
      <c r="D67" s="24">
        <v>1147</v>
      </c>
    </row>
    <row r="68" spans="1:4" ht="15" thickBot="1" x14ac:dyDescent="0.35">
      <c r="A68" t="s">
        <v>85</v>
      </c>
      <c r="B68" s="17"/>
      <c r="D68" s="24">
        <v>10</v>
      </c>
    </row>
    <row r="69" spans="1:4" ht="15" thickBot="1" x14ac:dyDescent="0.35">
      <c r="A69" s="5" t="s">
        <v>86</v>
      </c>
      <c r="B69" s="30">
        <f>SUM(B66:B68)</f>
        <v>6070</v>
      </c>
      <c r="C69" s="31">
        <f>SUM(C66:C68)</f>
        <v>812</v>
      </c>
      <c r="D69" s="32">
        <f>SUM(D66:D68)</f>
        <v>701</v>
      </c>
    </row>
    <row r="70" spans="1:4" x14ac:dyDescent="0.3">
      <c r="A70" s="1" t="s">
        <v>87</v>
      </c>
      <c r="B70" s="17"/>
      <c r="D70" s="24"/>
    </row>
    <row r="71" spans="1:4" x14ac:dyDescent="0.3">
      <c r="A71" t="s">
        <v>88</v>
      </c>
      <c r="B71" s="17">
        <v>6071</v>
      </c>
      <c r="C71">
        <v>825</v>
      </c>
      <c r="D71" s="24">
        <v>714</v>
      </c>
    </row>
    <row r="72" spans="1:4" ht="15" thickBot="1" x14ac:dyDescent="0.35">
      <c r="A72" t="s">
        <v>89</v>
      </c>
      <c r="B72" s="17">
        <v>-1</v>
      </c>
      <c r="C72">
        <v>-13</v>
      </c>
      <c r="D72" s="24">
        <v>-13</v>
      </c>
    </row>
    <row r="73" spans="1:4" ht="15" thickBot="1" x14ac:dyDescent="0.35">
      <c r="A73" s="5" t="s">
        <v>90</v>
      </c>
      <c r="B73" s="18">
        <f>SUM(B71:B72)</f>
        <v>6070</v>
      </c>
      <c r="C73" s="6">
        <f>SUM(C71:C72)</f>
        <v>812</v>
      </c>
      <c r="D73" s="7">
        <f>SUM(D71:D72)</f>
        <v>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8F42-C7CF-4264-8348-734290E0E8EC}">
  <dimension ref="A1:D41"/>
  <sheetViews>
    <sheetView zoomScaleNormal="100" workbookViewId="0">
      <selection activeCell="G34" sqref="G34"/>
    </sheetView>
  </sheetViews>
  <sheetFormatPr defaultRowHeight="14.4" x14ac:dyDescent="0.3"/>
  <cols>
    <col min="1" max="1" width="66.21875" customWidth="1"/>
  </cols>
  <sheetData>
    <row r="1" spans="1:4" x14ac:dyDescent="0.3">
      <c r="B1" s="21">
        <v>2025</v>
      </c>
      <c r="C1" s="22">
        <v>2024</v>
      </c>
      <c r="D1" s="23">
        <v>2023</v>
      </c>
    </row>
    <row r="2" spans="1:4" x14ac:dyDescent="0.3">
      <c r="A2" s="28" t="s">
        <v>91</v>
      </c>
      <c r="B2" s="17"/>
      <c r="D2" s="24"/>
    </row>
    <row r="3" spans="1:4" x14ac:dyDescent="0.3">
      <c r="A3" t="s">
        <v>92</v>
      </c>
      <c r="B3" s="17">
        <v>63121</v>
      </c>
      <c r="C3">
        <v>61896</v>
      </c>
      <c r="D3" s="24">
        <v>60580</v>
      </c>
    </row>
    <row r="4" spans="1:4" ht="15" thickBot="1" x14ac:dyDescent="0.35">
      <c r="A4" t="s">
        <v>93</v>
      </c>
      <c r="B4" s="17">
        <v>1017</v>
      </c>
      <c r="C4">
        <v>811</v>
      </c>
      <c r="D4" s="24">
        <v>512</v>
      </c>
    </row>
    <row r="5" spans="1:4" ht="15" thickBot="1" x14ac:dyDescent="0.35">
      <c r="A5" s="5" t="s">
        <v>94</v>
      </c>
      <c r="B5" s="18">
        <f>SUM(B3:B4)</f>
        <v>64138</v>
      </c>
      <c r="C5" s="6">
        <f>SUM(C3:C4)</f>
        <v>62707</v>
      </c>
      <c r="D5" s="25">
        <f>SUM(D3:D4)</f>
        <v>61092</v>
      </c>
    </row>
    <row r="6" spans="1:4" x14ac:dyDescent="0.3">
      <c r="A6" s="28" t="s">
        <v>95</v>
      </c>
      <c r="B6" s="17"/>
      <c r="D6" s="24"/>
    </row>
    <row r="7" spans="1:4" x14ac:dyDescent="0.3">
      <c r="A7" t="s">
        <v>96</v>
      </c>
      <c r="B7" s="17">
        <v>19458</v>
      </c>
      <c r="C7">
        <v>19257</v>
      </c>
      <c r="D7" s="24">
        <v>20212</v>
      </c>
    </row>
    <row r="8" spans="1:4" x14ac:dyDescent="0.3">
      <c r="A8" t="s">
        <v>97</v>
      </c>
      <c r="B8" s="17">
        <v>11273</v>
      </c>
      <c r="C8">
        <v>10514</v>
      </c>
      <c r="D8" s="24">
        <v>11579</v>
      </c>
    </row>
    <row r="9" spans="1:4" x14ac:dyDescent="0.3">
      <c r="A9" t="s">
        <v>98</v>
      </c>
      <c r="B9" s="17">
        <v>-153</v>
      </c>
      <c r="C9">
        <v>-11</v>
      </c>
      <c r="D9" s="24">
        <v>-75</v>
      </c>
    </row>
    <row r="10" spans="1:4" x14ac:dyDescent="0.3">
      <c r="A10" t="s">
        <v>99</v>
      </c>
      <c r="B10" s="17">
        <v>3077</v>
      </c>
      <c r="C10">
        <v>3009</v>
      </c>
      <c r="D10" s="24">
        <v>2854</v>
      </c>
    </row>
    <row r="11" spans="1:4" x14ac:dyDescent="0.3">
      <c r="A11" t="s">
        <v>100</v>
      </c>
      <c r="B11" s="17">
        <v>395</v>
      </c>
      <c r="C11">
        <v>334</v>
      </c>
      <c r="D11" s="24">
        <v>114</v>
      </c>
    </row>
    <row r="12" spans="1:4" x14ac:dyDescent="0.3">
      <c r="A12" t="s">
        <v>101</v>
      </c>
      <c r="B12" s="17">
        <v>1355</v>
      </c>
      <c r="C12">
        <v>1216</v>
      </c>
      <c r="D12" s="24">
        <v>1137</v>
      </c>
    </row>
    <row r="13" spans="1:4" ht="15" thickBot="1" x14ac:dyDescent="0.35">
      <c r="A13" t="s">
        <v>102</v>
      </c>
      <c r="B13" s="17">
        <v>14615</v>
      </c>
      <c r="C13">
        <v>14464</v>
      </c>
      <c r="D13" s="24">
        <v>11861</v>
      </c>
    </row>
    <row r="14" spans="1:4" ht="15" thickBot="1" x14ac:dyDescent="0.35">
      <c r="A14" s="5" t="s">
        <v>103</v>
      </c>
      <c r="B14" s="18">
        <f>SUM(B7:B13)</f>
        <v>50020</v>
      </c>
      <c r="C14" s="6">
        <f>SUM(C7:C13)</f>
        <v>48783</v>
      </c>
      <c r="D14" s="25">
        <f>SUM(D7:D13)</f>
        <v>47682</v>
      </c>
    </row>
    <row r="15" spans="1:4" ht="28.8" x14ac:dyDescent="0.3">
      <c r="A15" s="2" t="s">
        <v>104</v>
      </c>
      <c r="B15" s="17">
        <v>14118</v>
      </c>
      <c r="C15">
        <v>13924</v>
      </c>
      <c r="D15" s="24">
        <v>13410</v>
      </c>
    </row>
    <row r="16" spans="1:4" x14ac:dyDescent="0.3">
      <c r="A16" t="s">
        <v>105</v>
      </c>
      <c r="B16" s="17">
        <v>-8</v>
      </c>
      <c r="C16">
        <v>-4</v>
      </c>
      <c r="D16" s="24">
        <v>-1</v>
      </c>
    </row>
    <row r="17" spans="1:4" x14ac:dyDescent="0.3">
      <c r="A17" t="s">
        <v>106</v>
      </c>
      <c r="B17" s="17">
        <f>SUM(B15:B16)</f>
        <v>14110</v>
      </c>
      <c r="C17">
        <f>SUM(C15:C16)</f>
        <v>13920</v>
      </c>
      <c r="D17" s="24">
        <f>SUM(D15:D16)</f>
        <v>13409</v>
      </c>
    </row>
    <row r="18" spans="1:4" x14ac:dyDescent="0.3">
      <c r="A18" t="s">
        <v>107</v>
      </c>
      <c r="B18" s="17">
        <v>305</v>
      </c>
      <c r="C18">
        <v>6</v>
      </c>
      <c r="D18" s="24">
        <v>-64</v>
      </c>
    </row>
    <row r="19" spans="1:4" x14ac:dyDescent="0.3">
      <c r="A19" t="s">
        <v>108</v>
      </c>
      <c r="B19" s="17">
        <f>SUM(B17:B18)</f>
        <v>14415</v>
      </c>
      <c r="C19">
        <f>SUM(C17:C18)</f>
        <v>13926</v>
      </c>
      <c r="D19" s="24">
        <f>SUM(D17:D18)</f>
        <v>13345</v>
      </c>
    </row>
    <row r="20" spans="1:4" x14ac:dyDescent="0.3">
      <c r="A20" s="28" t="s">
        <v>109</v>
      </c>
      <c r="B20" s="17"/>
      <c r="D20" s="24"/>
    </row>
    <row r="21" spans="1:4" x14ac:dyDescent="0.3">
      <c r="A21" t="s">
        <v>110</v>
      </c>
      <c r="B21" s="17">
        <v>-3620</v>
      </c>
      <c r="C21">
        <v>-3521</v>
      </c>
      <c r="D21" s="24">
        <v>-3001</v>
      </c>
    </row>
    <row r="22" spans="1:4" ht="15" thickBot="1" x14ac:dyDescent="0.35">
      <c r="A22" t="s">
        <v>111</v>
      </c>
      <c r="B22" s="17">
        <v>-124</v>
      </c>
      <c r="C22">
        <v>-123</v>
      </c>
      <c r="D22" s="24">
        <v>-200</v>
      </c>
    </row>
    <row r="23" spans="1:4" ht="15" thickBot="1" x14ac:dyDescent="0.35">
      <c r="A23" s="5" t="s">
        <v>112</v>
      </c>
      <c r="B23" s="18">
        <f>SUM(B19:B22)</f>
        <v>10671</v>
      </c>
      <c r="C23" s="6">
        <f>SUM(C19:C22)</f>
        <v>10282</v>
      </c>
      <c r="D23" s="25">
        <f>SUM(D19:D22)</f>
        <v>10144</v>
      </c>
    </row>
    <row r="24" spans="1:4" x14ac:dyDescent="0.3">
      <c r="A24" t="s">
        <v>113</v>
      </c>
      <c r="B24" s="17"/>
      <c r="D24" s="24">
        <v>-1</v>
      </c>
    </row>
    <row r="25" spans="1:4" ht="15" thickBot="1" x14ac:dyDescent="0.35">
      <c r="A25" t="s">
        <v>114</v>
      </c>
      <c r="B25" s="17"/>
      <c r="D25" s="24"/>
    </row>
    <row r="26" spans="1:4" x14ac:dyDescent="0.3">
      <c r="A26" s="8" t="s">
        <v>115</v>
      </c>
      <c r="B26" s="16"/>
      <c r="C26" s="9"/>
      <c r="D26" s="26">
        <f>SUM(D24:D25)</f>
        <v>-1</v>
      </c>
    </row>
    <row r="27" spans="1:4" ht="15" thickBot="1" x14ac:dyDescent="0.35">
      <c r="A27" s="11" t="s">
        <v>116</v>
      </c>
      <c r="B27" s="19">
        <f>SUM(B26,B23)</f>
        <v>10671</v>
      </c>
      <c r="C27" s="12">
        <f>SUM(C26,C23)</f>
        <v>10282</v>
      </c>
      <c r="D27" s="27">
        <f>SUM(D26,D23)</f>
        <v>10143</v>
      </c>
    </row>
    <row r="28" spans="1:4" x14ac:dyDescent="0.3">
      <c r="A28" s="28" t="s">
        <v>117</v>
      </c>
      <c r="B28" s="17"/>
      <c r="D28" s="24"/>
    </row>
    <row r="29" spans="1:4" x14ac:dyDescent="0.3">
      <c r="A29" t="s">
        <v>118</v>
      </c>
      <c r="B29" s="17"/>
      <c r="D29" s="24"/>
    </row>
    <row r="30" spans="1:4" x14ac:dyDescent="0.3">
      <c r="A30" t="s">
        <v>119</v>
      </c>
      <c r="B30" s="17">
        <v>-22</v>
      </c>
      <c r="C30">
        <v>36</v>
      </c>
      <c r="D30" s="24">
        <v>-17</v>
      </c>
    </row>
    <row r="31" spans="1:4" ht="28.8" x14ac:dyDescent="0.3">
      <c r="A31" s="2" t="s">
        <v>120</v>
      </c>
      <c r="B31" s="17"/>
      <c r="D31" s="24"/>
    </row>
    <row r="32" spans="1:4" x14ac:dyDescent="0.3">
      <c r="A32" t="s">
        <v>121</v>
      </c>
      <c r="B32" s="17">
        <v>5</v>
      </c>
      <c r="C32">
        <v>-9</v>
      </c>
      <c r="D32" s="24">
        <v>4</v>
      </c>
    </row>
    <row r="33" spans="1:4" x14ac:dyDescent="0.3">
      <c r="A33" t="s">
        <v>122</v>
      </c>
      <c r="B33" s="17"/>
      <c r="D33" s="24"/>
    </row>
    <row r="34" spans="1:4" x14ac:dyDescent="0.3">
      <c r="A34" t="s">
        <v>123</v>
      </c>
      <c r="B34" s="17"/>
      <c r="C34">
        <v>2</v>
      </c>
      <c r="D34" s="24">
        <v>-1</v>
      </c>
    </row>
    <row r="35" spans="1:4" x14ac:dyDescent="0.3">
      <c r="A35" t="s">
        <v>124</v>
      </c>
      <c r="B35" s="17"/>
      <c r="D35" s="24">
        <v>-21</v>
      </c>
    </row>
    <row r="36" spans="1:4" x14ac:dyDescent="0.3">
      <c r="A36" t="s">
        <v>125</v>
      </c>
      <c r="B36" s="17"/>
      <c r="D36" s="24"/>
    </row>
    <row r="37" spans="1:4" x14ac:dyDescent="0.3">
      <c r="A37" t="s">
        <v>123</v>
      </c>
      <c r="B37" s="17"/>
      <c r="C37">
        <v>0</v>
      </c>
      <c r="D37" s="24">
        <v>0</v>
      </c>
    </row>
    <row r="38" spans="1:4" x14ac:dyDescent="0.3">
      <c r="A38" t="s">
        <v>126</v>
      </c>
      <c r="B38" s="17">
        <v>-2</v>
      </c>
      <c r="C38">
        <v>-1</v>
      </c>
      <c r="D38" s="24">
        <v>9</v>
      </c>
    </row>
    <row r="39" spans="1:4" ht="15" thickBot="1" x14ac:dyDescent="0.35">
      <c r="A39" t="s">
        <v>133</v>
      </c>
      <c r="B39" s="17"/>
      <c r="C39">
        <v>-3</v>
      </c>
      <c r="D39" s="24"/>
    </row>
    <row r="40" spans="1:4" x14ac:dyDescent="0.3">
      <c r="A40" s="8" t="s">
        <v>128</v>
      </c>
      <c r="B40" s="20">
        <f>SUM(B30:B39)</f>
        <v>-19</v>
      </c>
      <c r="C40" s="14">
        <f>SUM(C30:C39)</f>
        <v>25</v>
      </c>
      <c r="D40" s="26">
        <f>SUM(D30:D38)</f>
        <v>-26</v>
      </c>
    </row>
    <row r="41" spans="1:4" ht="15" thickBot="1" x14ac:dyDescent="0.35">
      <c r="A41" s="11" t="s">
        <v>127</v>
      </c>
      <c r="B41" s="19">
        <f>SUM(B40,B26,B23)</f>
        <v>10652</v>
      </c>
      <c r="C41" s="12">
        <f>SUM(C40,C26,C23)</f>
        <v>10307</v>
      </c>
      <c r="D41" s="27">
        <f>SUM(D40,D26,D23)</f>
        <v>10117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9F4F-987D-422F-9DA9-C71D9DE08599}">
  <dimension ref="A1:H25"/>
  <sheetViews>
    <sheetView tabSelected="1" zoomScale="45" zoomScaleNormal="100" workbookViewId="0">
      <selection activeCell="H9" sqref="H9"/>
    </sheetView>
  </sheetViews>
  <sheetFormatPr defaultRowHeight="14.4" x14ac:dyDescent="0.3"/>
  <cols>
    <col min="1" max="1" width="43.88671875" customWidth="1"/>
    <col min="2" max="2" width="93" customWidth="1"/>
    <col min="6" max="6" width="26.77734375" customWidth="1"/>
    <col min="7" max="7" width="45.33203125" customWidth="1"/>
    <col min="8" max="8" width="53.33203125" customWidth="1"/>
  </cols>
  <sheetData>
    <row r="1" spans="1:8" ht="18" x14ac:dyDescent="0.35">
      <c r="A1" s="56" t="s">
        <v>159</v>
      </c>
      <c r="B1" s="57"/>
      <c r="C1" s="60">
        <v>2025</v>
      </c>
      <c r="D1" s="60">
        <v>2024</v>
      </c>
      <c r="E1" s="60">
        <v>2023</v>
      </c>
    </row>
    <row r="2" spans="1:8" ht="21" x14ac:dyDescent="0.4">
      <c r="A2" s="58" t="s">
        <v>164</v>
      </c>
      <c r="B2" s="59"/>
      <c r="G2" s="60" t="s">
        <v>191</v>
      </c>
    </row>
    <row r="3" spans="1:8" ht="23.4" customHeight="1" x14ac:dyDescent="0.4">
      <c r="A3" s="59" t="s">
        <v>165</v>
      </c>
      <c r="B3" s="59" t="s">
        <v>160</v>
      </c>
      <c r="C3" s="62">
        <f>('INCOME STATEMENT'!B3-('INCOME STATEMENT'!B7+'INCOME STATEMENT'!B8+'INCOME STATEMENT'!B9))/'INCOME STATEMENT'!B3</f>
        <v>0.51556534275439236</v>
      </c>
      <c r="D3" s="62">
        <f>('INCOME STATEMENT'!C3-('INCOME STATEMENT'!C7+'INCOME STATEMENT'!C8+'INCOME STATEMENT'!C9))/'INCOME STATEMENT'!C3</f>
        <v>0.51919348584722758</v>
      </c>
      <c r="E3" s="62">
        <f>('INCOME STATEMENT'!D3-('INCOME STATEMENT'!D7+'INCOME STATEMENT'!D8+'INCOME STATEMENT'!D9))/'INCOME STATEMENT'!D3</f>
        <v>0.4764608781776164</v>
      </c>
      <c r="G3" s="64" t="s">
        <v>192</v>
      </c>
      <c r="H3" s="64" t="s">
        <v>193</v>
      </c>
    </row>
    <row r="4" spans="1:8" ht="23.4" customHeight="1" x14ac:dyDescent="0.4">
      <c r="A4" s="59" t="s">
        <v>166</v>
      </c>
      <c r="B4" s="59" t="s">
        <v>167</v>
      </c>
      <c r="C4" s="62">
        <f>('BALANCE SHEET'!B29-'BALANCE SHEET'!B19)/'BALANCE SHEET'!B58</f>
        <v>1.0664570357380421</v>
      </c>
      <c r="D4" s="62">
        <f>('BALANCE SHEET'!C29-'BALANCE SHEET'!C19)/'BALANCE SHEET'!C58</f>
        <v>1.3434272847270752</v>
      </c>
      <c r="E4" s="62">
        <f>('BALANCE SHEET'!D29-'BALANCE SHEET'!D19)/'BALANCE SHEET'!D58</f>
        <v>1.0597771865646823</v>
      </c>
      <c r="G4" t="s">
        <v>192</v>
      </c>
      <c r="H4" s="61">
        <f>('INCOME STATEMENT'!B27/'INCOME STATEMENT'!B3)*('INCOME STATEMENT'!B3/AVERAGE('BALANCE SHEET'!B30,'BALANCE SHEET'!C30))*(AVERAGE('BALANCE SHEET'!B30,'BALANCE SHEET'!C30)/AVERAGE('BALANCE SHEET'!B37,'BALANCE SHEET'!C37))</f>
        <v>0.21124000316731334</v>
      </c>
    </row>
    <row r="5" spans="1:8" ht="22.8" customHeight="1" x14ac:dyDescent="0.4">
      <c r="A5" s="58" t="s">
        <v>197</v>
      </c>
      <c r="B5" s="59"/>
      <c r="C5" s="62"/>
      <c r="D5" s="62"/>
      <c r="E5" s="62"/>
    </row>
    <row r="6" spans="1:8" ht="22.8" customHeight="1" x14ac:dyDescent="0.4">
      <c r="A6" s="59" t="s">
        <v>196</v>
      </c>
      <c r="B6" s="59" t="s">
        <v>176</v>
      </c>
      <c r="C6" s="62">
        <f>('BALANCE SHEET'!B46+'BALANCE SHEET'!B58)/'BALANCE SHEET'!B30</f>
        <v>0.37895593390085125</v>
      </c>
      <c r="D6" s="62">
        <f>('BALANCE SHEET'!C46+'BALANCE SHEET'!C58)/'BALANCE SHEET'!C30</f>
        <v>0.34492159135785172</v>
      </c>
      <c r="E6" s="62">
        <f>('BALANCE SHEET'!D46+'BALANCE SHEET'!D58)/'BALANCE SHEET'!D30</f>
        <v>0.30874163667957366</v>
      </c>
    </row>
    <row r="7" spans="1:8" ht="21.6" customHeight="1" x14ac:dyDescent="0.4">
      <c r="A7" s="59" t="s">
        <v>161</v>
      </c>
      <c r="B7" s="59" t="s">
        <v>162</v>
      </c>
      <c r="C7" s="62">
        <f>('BALANCE SHEET'!B46+'BALANCE SHEET'!B58)/'BALANCE SHEET'!B37</f>
        <v>0.61019169908685922</v>
      </c>
      <c r="D7" s="62">
        <f>('BALANCE SHEET'!C46+'BALANCE SHEET'!C58)/'BALANCE SHEET'!C37</f>
        <v>0.52653481904984156</v>
      </c>
      <c r="E7" s="62">
        <f>('BALANCE SHEET'!D46+'BALANCE SHEET'!D58)/'BALANCE SHEET'!D37</f>
        <v>0.44663710858635841</v>
      </c>
    </row>
    <row r="8" spans="1:8" ht="21" x14ac:dyDescent="0.4">
      <c r="A8" s="58" t="s">
        <v>189</v>
      </c>
      <c r="B8" s="59"/>
      <c r="C8" s="62"/>
      <c r="D8" s="62"/>
      <c r="E8" s="62"/>
    </row>
    <row r="9" spans="1:8" ht="21" customHeight="1" x14ac:dyDescent="0.4">
      <c r="A9" s="59" t="s">
        <v>169</v>
      </c>
      <c r="B9" s="59" t="s">
        <v>178</v>
      </c>
      <c r="C9" s="62">
        <f>('INCOME STATEMENT'!B3-('INCOME STATEMENT'!B7+'INCOME STATEMENT'!B8+'INCOME STATEMENT'!B9))/'INCOME STATEMENT'!B3</f>
        <v>0.51556534275439236</v>
      </c>
      <c r="D9" s="62">
        <f>('INCOME STATEMENT'!C3-('INCOME STATEMENT'!C7+'INCOME STATEMENT'!C8+'INCOME STATEMENT'!C9))/'INCOME STATEMENT'!C3</f>
        <v>0.51919348584722758</v>
      </c>
      <c r="E9" s="62">
        <f>('INCOME STATEMENT'!D3-('INCOME STATEMENT'!D7+'INCOME STATEMENT'!D8+'INCOME STATEMENT'!D9))/'INCOME STATEMENT'!D3</f>
        <v>0.4764608781776164</v>
      </c>
    </row>
    <row r="10" spans="1:8" ht="22.2" customHeight="1" x14ac:dyDescent="0.4">
      <c r="A10" s="59" t="s">
        <v>170</v>
      </c>
      <c r="B10" s="59" t="s">
        <v>179</v>
      </c>
      <c r="C10" s="62">
        <f>'INCOME STATEMENT'!B27/'INCOME STATEMENT'!B3</f>
        <v>0.16905625703014845</v>
      </c>
      <c r="D10" s="62">
        <f>'INCOME STATEMENT'!C27/'INCOME STATEMENT'!C3</f>
        <v>0.16611735814915343</v>
      </c>
      <c r="E10" s="62">
        <f>'INCOME STATEMENT'!D27/'INCOME STATEMENT'!D3</f>
        <v>0.16743149554308354</v>
      </c>
    </row>
    <row r="11" spans="1:8" ht="22.8" customHeight="1" x14ac:dyDescent="0.4">
      <c r="A11" s="59" t="s">
        <v>168</v>
      </c>
      <c r="B11" s="59" t="s">
        <v>177</v>
      </c>
      <c r="C11" s="62">
        <f>('INCOME STATEMENT'!B19+'INCOME STATEMENT'!B11)/'INCOME STATEMENT'!B3</f>
        <v>0.23462872894916115</v>
      </c>
      <c r="D11" s="62">
        <f>('INCOME STATEMENT'!C19+'INCOME STATEMENT'!C11)/'INCOME STATEMENT'!C3</f>
        <v>0.23038645469820343</v>
      </c>
      <c r="E11" s="62">
        <f>('INCOME STATEMENT'!D19+'INCOME STATEMENT'!D11)/'INCOME STATEMENT'!D3</f>
        <v>0.22216903268405414</v>
      </c>
    </row>
    <row r="12" spans="1:8" ht="21" x14ac:dyDescent="0.4">
      <c r="A12" s="59" t="s">
        <v>182</v>
      </c>
      <c r="B12" s="59" t="s">
        <v>181</v>
      </c>
      <c r="C12" s="62">
        <f>'INCOME STATEMENT'!B27/AVERAGE('BALANCE SHEET'!B37,'BALANCE SHEET'!C37)</f>
        <v>0.21124000316731334</v>
      </c>
      <c r="D12" s="62">
        <f>'INCOME STATEMENT'!C27/AVERAGE('BALANCE SHEET'!C37,'BALANCE SHEET'!D37)</f>
        <v>0.20171661189857276</v>
      </c>
      <c r="E12" s="62">
        <f>'INCOME STATEMENT'!D27/AVERAGE('BALANCE SHEET'!D37,'BALANCE SHEET'!E37)</f>
        <v>0.20076402359368195</v>
      </c>
    </row>
    <row r="13" spans="1:8" ht="21" x14ac:dyDescent="0.4">
      <c r="A13" s="59" t="s">
        <v>195</v>
      </c>
      <c r="B13" s="59" t="s">
        <v>180</v>
      </c>
      <c r="C13" s="62">
        <f>'INCOME STATEMENT'!B27/AVERAGE('BALANCE SHEET'!B30,'BALANCE SHEET'!C30)</f>
        <v>0.13475271342791659</v>
      </c>
      <c r="D13" s="62">
        <f>'INCOME STATEMENT'!C27/AVERAGE('BALANCE SHEET'!C30,'BALANCE SHEET'!D30)</f>
        <v>0.13565896586756032</v>
      </c>
      <c r="E13" s="62">
        <f>'INCOME STATEMENT'!D27/AVERAGE('BALANCE SHEET'!D30,'BALANCE SHEET'!E30)</f>
        <v>0.13877981036299206</v>
      </c>
    </row>
    <row r="14" spans="1:8" ht="21" x14ac:dyDescent="0.4">
      <c r="A14" s="58" t="s">
        <v>171</v>
      </c>
      <c r="B14" s="59"/>
      <c r="C14" s="62"/>
      <c r="D14" s="62"/>
      <c r="E14" s="62"/>
    </row>
    <row r="15" spans="1:8" ht="21" x14ac:dyDescent="0.4">
      <c r="A15" s="59" t="s">
        <v>194</v>
      </c>
      <c r="B15" s="59" t="s">
        <v>183</v>
      </c>
      <c r="C15" s="62">
        <f>('INCOME STATEMENT'!B7+'INCOME STATEMENT'!B8+'INCOME STATEMENT'!B9)/AVERAGE('BALANCE SHEET'!B19,'BALANCE SHEET'!C19)</f>
        <v>7.2485480621073846</v>
      </c>
      <c r="D15" s="62">
        <f>('INCOME STATEMENT'!C7+'INCOME STATEMENT'!C8+'INCOME STATEMENT'!C9)/AVERAGE('BALANCE SHEET'!C19,'BALANCE SHEET'!D19)</f>
        <v>7.1944880937991051</v>
      </c>
      <c r="E15" s="62">
        <f>('INCOME STATEMENT'!D7+'INCOME STATEMENT'!D8+'INCOME STATEMENT'!D9)/AVERAGE('BALANCE SHEET'!D19,'BALANCE SHEET'!E19)</f>
        <v>7.4608327452364147</v>
      </c>
    </row>
    <row r="16" spans="1:8" ht="21" x14ac:dyDescent="0.4">
      <c r="A16" s="59" t="s">
        <v>172</v>
      </c>
      <c r="B16" s="59" t="s">
        <v>184</v>
      </c>
      <c r="C16" s="62">
        <f>'INCOME STATEMENT'!B3/AVERAGE('BALANCE SHEET'!B22,'BALANCE SHEET'!C22)</f>
        <v>18.521420187793428</v>
      </c>
      <c r="D16" s="62">
        <f>'INCOME STATEMENT'!C3/AVERAGE('BALANCE SHEET'!C22,'BALANCE SHEET'!D22)</f>
        <v>20.373930217248191</v>
      </c>
      <c r="E16" s="62">
        <f>'INCOME STATEMENT'!D3/AVERAGE('BALANCE SHEET'!D22,'BALANCE SHEET'!E22)</f>
        <v>19.67521922702176</v>
      </c>
    </row>
    <row r="17" spans="1:5" ht="21" x14ac:dyDescent="0.4">
      <c r="A17" s="59" t="s">
        <v>163</v>
      </c>
      <c r="B17" s="59" t="s">
        <v>185</v>
      </c>
      <c r="C17" s="62">
        <f>'INCOME STATEMENT'!B3/AVERAGE('BALANCE SHEET'!B30,'BALANCE SHEET'!C30)</f>
        <v>0.79708799777748307</v>
      </c>
      <c r="D17" s="62">
        <f>'INCOME STATEMENT'!C3/AVERAGE('BALANCE SHEET'!C30,'BALANCE SHEET'!D30)</f>
        <v>0.81664533664058692</v>
      </c>
      <c r="E17" s="62">
        <f>'INCOME STATEMENT'!D3/AVERAGE('BALANCE SHEET'!D30,'BALANCE SHEET'!E30)</f>
        <v>0.82887517615991901</v>
      </c>
    </row>
    <row r="18" spans="1:5" ht="21" x14ac:dyDescent="0.4">
      <c r="A18" s="58" t="s">
        <v>190</v>
      </c>
      <c r="B18" s="59"/>
    </row>
    <row r="19" spans="1:5" ht="21" x14ac:dyDescent="0.4">
      <c r="A19" s="59" t="s">
        <v>173</v>
      </c>
      <c r="B19" s="59" t="s">
        <v>186</v>
      </c>
      <c r="C19" s="63">
        <f>'INCOME STATEMENT'!B27/C24</f>
        <v>45.41624106230848</v>
      </c>
      <c r="D19" s="63">
        <f>'INCOME STATEMENT'!C27/D24</f>
        <v>43.760640108954718</v>
      </c>
      <c r="E19" s="63">
        <f>'INCOME STATEMENT'!D27/E24</f>
        <v>43.169050051072524</v>
      </c>
    </row>
    <row r="20" spans="1:5" ht="21" x14ac:dyDescent="0.4">
      <c r="A20" s="59" t="s">
        <v>175</v>
      </c>
      <c r="B20" s="59" t="s">
        <v>187</v>
      </c>
      <c r="C20">
        <f>C25/C19</f>
        <v>52.095901040202413</v>
      </c>
      <c r="D20">
        <f t="shared" ref="D20:E20" si="0">D25/D19</f>
        <v>50.776222524800623</v>
      </c>
      <c r="E20">
        <f t="shared" si="0"/>
        <v>58.259331558710436</v>
      </c>
    </row>
    <row r="21" spans="1:5" ht="21" x14ac:dyDescent="0.4">
      <c r="A21" s="59" t="s">
        <v>174</v>
      </c>
      <c r="B21" s="59" t="s">
        <v>188</v>
      </c>
      <c r="C21">
        <f>'BALANCE SHEET'!B37/C24</f>
        <v>211.13806605379639</v>
      </c>
      <c r="D21">
        <f>'BALANCE SHEET'!C37/D24</f>
        <v>218.8585291113381</v>
      </c>
      <c r="E21">
        <f>'BALANCE SHEET'!D37/E24</f>
        <v>215.02383384405854</v>
      </c>
    </row>
    <row r="24" spans="1:5" ht="21" x14ac:dyDescent="0.4">
      <c r="A24" s="59" t="s">
        <v>199</v>
      </c>
      <c r="C24" s="59">
        <v>234.96</v>
      </c>
      <c r="D24" s="59">
        <v>234.96</v>
      </c>
      <c r="E24" s="59">
        <v>234.96</v>
      </c>
    </row>
    <row r="25" spans="1:5" ht="21" x14ac:dyDescent="0.4">
      <c r="A25" s="59" t="s">
        <v>198</v>
      </c>
      <c r="C25" s="59">
        <v>2366</v>
      </c>
      <c r="D25" s="59">
        <v>2222</v>
      </c>
      <c r="E25" s="59">
        <v>2515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CASH FLOW</vt:lpstr>
      <vt:lpstr>INCOME STATEMENT</vt:lpstr>
      <vt:lpstr>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pandey</dc:creator>
  <cp:lastModifiedBy>abhinav pandey</cp:lastModifiedBy>
  <dcterms:created xsi:type="dcterms:W3CDTF">2026-02-19T09:30:50Z</dcterms:created>
  <dcterms:modified xsi:type="dcterms:W3CDTF">2026-03-17T14:01:54Z</dcterms:modified>
</cp:coreProperties>
</file>